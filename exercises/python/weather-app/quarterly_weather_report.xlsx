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Quarterly Summary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1B3A5C"/>
      <sz val="16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AF8"/>
      </patternFill>
    </fill>
    <fill>
      <patternFill patternType="solid">
        <fgColor rgb="002E6B9E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Temperature Trends (°C)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Data'!B3</f>
            </strRef>
          </tx>
          <spPr>
            <a:ln xmlns:a="http://schemas.openxmlformats.org/drawingml/2006/main" w="2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Data'!$A$4:$A$15</f>
            </numRef>
          </cat>
          <val>
            <numRef>
              <f>'Monthly Data'!$B$4:$B$15</f>
            </numRef>
          </val>
        </ser>
        <ser>
          <idx val="1"/>
          <order val="1"/>
          <tx>
            <strRef>
              <f>'Monthly Data'!C3</f>
            </strRef>
          </tx>
          <spPr>
            <a:ln xmlns:a="http://schemas.openxmlformats.org/drawingml/2006/main" w="2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Data'!$A$4:$A$15</f>
            </numRef>
          </cat>
          <val>
            <numRef>
              <f>'Monthly Data'!$C$4:$C$15</f>
            </numRef>
          </val>
        </ser>
        <ser>
          <idx val="2"/>
          <order val="2"/>
          <tx>
            <strRef>
              <f>'Monthly Data'!D3</f>
            </strRef>
          </tx>
          <spPr>
            <a:ln xmlns:a="http://schemas.openxmlformats.org/drawingml/2006/main" w="28000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Data'!$A$4:$A$15</f>
            </numRef>
          </cat>
          <val>
            <numRef>
              <f>'Monthly Data'!$D$4:$D$15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Precipitation (mm)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Data'!E3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prstDash val="solid"/>
            </a:ln>
          </spPr>
          <cat>
            <numRef>
              <f>'Monthly Data'!$A$4:$A$15</f>
            </numRef>
          </cat>
          <val>
            <numRef>
              <f>'Monthly Data'!$E$4:$E$15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Precipitation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Temperature Comparison (°C)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Summary'!B3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prstDash val="solid"/>
            </a:ln>
          </spPr>
          <cat>
            <numRef>
              <f>'Quarterly Summary'!$A$4:$A$7</f>
            </numRef>
          </cat>
          <val>
            <numRef>
              <f>'Quarterly Summary'!$B$4:$B$7</f>
            </numRef>
          </val>
        </ser>
        <ser>
          <idx val="1"/>
          <order val="1"/>
          <tx>
            <strRef>
              <f>'Quarterly Summary'!C3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prstDash val="solid"/>
            </a:ln>
          </spPr>
          <cat>
            <numRef>
              <f>'Quarterly Summary'!$A$4:$A$7</f>
            </numRef>
          </cat>
          <val>
            <numRef>
              <f>'Quarterly Summary'!$C$4:$C$7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1008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36</row>
      <rowOff>0</rowOff>
    </from>
    <ext cx="10080000" cy="57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5" customHeight="1">
      <c r="A1" s="1" t="inlineStr">
        <is>
          <t>Quarterly Weather Report — 2025</t>
        </is>
      </c>
    </row>
    <row r="3">
      <c r="A3" s="2" t="inlineStr">
        <is>
          <t>Month</t>
        </is>
      </c>
      <c r="B3" s="2" t="inlineStr">
        <is>
          <t>Avg High (°C)</t>
        </is>
      </c>
      <c r="C3" s="2" t="inlineStr">
        <is>
          <t>Avg Low (°C)</t>
        </is>
      </c>
      <c r="D3" s="2" t="inlineStr">
        <is>
          <t>Mean Temp (°C)</t>
        </is>
      </c>
      <c r="E3" s="2" t="inlineStr">
        <is>
          <t>Precip (mm)</t>
        </is>
      </c>
      <c r="F3" s="2" t="inlineStr">
        <is>
          <t>Humidity (%)</t>
        </is>
      </c>
      <c r="G3" s="2" t="inlineStr">
        <is>
          <t>Wind (m/s)</t>
        </is>
      </c>
      <c r="H3" s="2" t="inlineStr">
        <is>
          <t>Sunny Days</t>
        </is>
      </c>
    </row>
    <row r="4">
      <c r="A4" s="3" t="inlineStr">
        <is>
          <t>January</t>
        </is>
      </c>
      <c r="B4" s="3" t="n">
        <v>3</v>
      </c>
      <c r="C4" s="3" t="n">
        <v>-2</v>
      </c>
      <c r="D4" s="3">
        <f>AVERAGE(B4,C4)</f>
        <v/>
      </c>
      <c r="E4" s="3" t="n">
        <v>55</v>
      </c>
      <c r="F4" s="3" t="n">
        <v>78</v>
      </c>
      <c r="G4" s="3" t="n">
        <v>4.2</v>
      </c>
      <c r="H4" s="3" t="n">
        <v>8</v>
      </c>
    </row>
    <row r="5">
      <c r="A5" s="4" t="inlineStr">
        <is>
          <t>February</t>
        </is>
      </c>
      <c r="B5" s="4" t="n">
        <v>5</v>
      </c>
      <c r="C5" s="4" t="n">
        <v>-1</v>
      </c>
      <c r="D5" s="4">
        <f>AVERAGE(B5,C5)</f>
        <v/>
      </c>
      <c r="E5" s="4" t="n">
        <v>45</v>
      </c>
      <c r="F5" s="4" t="n">
        <v>72</v>
      </c>
      <c r="G5" s="4" t="n">
        <v>4.5</v>
      </c>
      <c r="H5" s="4" t="n">
        <v>10</v>
      </c>
    </row>
    <row r="6">
      <c r="A6" s="3" t="inlineStr">
        <is>
          <t>March</t>
        </is>
      </c>
      <c r="B6" s="3" t="n">
        <v>10</v>
      </c>
      <c r="C6" s="3" t="n">
        <v>3</v>
      </c>
      <c r="D6" s="3">
        <f>AVERAGE(B6,C6)</f>
        <v/>
      </c>
      <c r="E6" s="3" t="n">
        <v>50</v>
      </c>
      <c r="F6" s="3" t="n">
        <v>68</v>
      </c>
      <c r="G6" s="3" t="n">
        <v>3.8</v>
      </c>
      <c r="H6" s="3" t="n">
        <v>13</v>
      </c>
    </row>
    <row r="7">
      <c r="A7" s="4" t="inlineStr">
        <is>
          <t>April</t>
        </is>
      </c>
      <c r="B7" s="4" t="n">
        <v>16</v>
      </c>
      <c r="C7" s="4" t="n">
        <v>7</v>
      </c>
      <c r="D7" s="4">
        <f>AVERAGE(B7,C7)</f>
        <v/>
      </c>
      <c r="E7" s="4" t="n">
        <v>42</v>
      </c>
      <c r="F7" s="4" t="n">
        <v>60</v>
      </c>
      <c r="G7" s="4" t="n">
        <v>3.5</v>
      </c>
      <c r="H7" s="4" t="n">
        <v>17</v>
      </c>
    </row>
    <row r="8">
      <c r="A8" s="3" t="inlineStr">
        <is>
          <t>May</t>
        </is>
      </c>
      <c r="B8" s="3" t="n">
        <v>21</v>
      </c>
      <c r="C8" s="3" t="n">
        <v>12</v>
      </c>
      <c r="D8" s="3">
        <f>AVERAGE(B8,C8)</f>
        <v/>
      </c>
      <c r="E8" s="3" t="n">
        <v>55</v>
      </c>
      <c r="F8" s="3" t="n">
        <v>58</v>
      </c>
      <c r="G8" s="3" t="n">
        <v>3</v>
      </c>
      <c r="H8" s="3" t="n">
        <v>20</v>
      </c>
    </row>
    <row r="9">
      <c r="A9" s="4" t="inlineStr">
        <is>
          <t>June</t>
        </is>
      </c>
      <c r="B9" s="4" t="n">
        <v>26</v>
      </c>
      <c r="C9" s="4" t="n">
        <v>17</v>
      </c>
      <c r="D9" s="4">
        <f>AVERAGE(B9,C9)</f>
        <v/>
      </c>
      <c r="E9" s="4" t="n">
        <v>65</v>
      </c>
      <c r="F9" s="4" t="n">
        <v>62</v>
      </c>
      <c r="G9" s="4" t="n">
        <v>2.8</v>
      </c>
      <c r="H9" s="4" t="n">
        <v>22</v>
      </c>
    </row>
    <row r="10">
      <c r="A10" s="3" t="inlineStr">
        <is>
          <t>July</t>
        </is>
      </c>
      <c r="B10" s="3" t="n">
        <v>29</v>
      </c>
      <c r="C10" s="3" t="n">
        <v>20</v>
      </c>
      <c r="D10" s="3">
        <f>AVERAGE(B10,C10)</f>
        <v/>
      </c>
      <c r="E10" s="3" t="n">
        <v>70</v>
      </c>
      <c r="F10" s="3" t="n">
        <v>65</v>
      </c>
      <c r="G10" s="3" t="n">
        <v>2.5</v>
      </c>
      <c r="H10" s="3" t="n">
        <v>25</v>
      </c>
    </row>
    <row r="11">
      <c r="A11" s="4" t="inlineStr">
        <is>
          <t>August</t>
        </is>
      </c>
      <c r="B11" s="4" t="n">
        <v>28</v>
      </c>
      <c r="C11" s="4" t="n">
        <v>19</v>
      </c>
      <c r="D11" s="4">
        <f>AVERAGE(B11,C11)</f>
        <v/>
      </c>
      <c r="E11" s="4" t="n">
        <v>60</v>
      </c>
      <c r="F11" s="4" t="n">
        <v>66</v>
      </c>
      <c r="G11" s="4" t="n">
        <v>2.6</v>
      </c>
      <c r="H11" s="4" t="n">
        <v>23</v>
      </c>
    </row>
    <row r="12">
      <c r="A12" s="3" t="inlineStr">
        <is>
          <t>September</t>
        </is>
      </c>
      <c r="B12" s="3" t="n">
        <v>23</v>
      </c>
      <c r="C12" s="3" t="n">
        <v>15</v>
      </c>
      <c r="D12" s="3">
        <f>AVERAGE(B12,C12)</f>
        <v/>
      </c>
      <c r="E12" s="3" t="n">
        <v>50</v>
      </c>
      <c r="F12" s="3" t="n">
        <v>63</v>
      </c>
      <c r="G12" s="3" t="n">
        <v>3.1</v>
      </c>
      <c r="H12" s="3" t="n">
        <v>19</v>
      </c>
    </row>
    <row r="13">
      <c r="A13" s="4" t="inlineStr">
        <is>
          <t>October</t>
        </is>
      </c>
      <c r="B13" s="4" t="n">
        <v>16</v>
      </c>
      <c r="C13" s="4" t="n">
        <v>9</v>
      </c>
      <c r="D13" s="4">
        <f>AVERAGE(B13,C13)</f>
        <v/>
      </c>
      <c r="E13" s="4" t="n">
        <v>55</v>
      </c>
      <c r="F13" s="4" t="n">
        <v>70</v>
      </c>
      <c r="G13" s="4" t="n">
        <v>3.6</v>
      </c>
      <c r="H13" s="4" t="n">
        <v>14</v>
      </c>
    </row>
    <row r="14">
      <c r="A14" s="3" t="inlineStr">
        <is>
          <t>November</t>
        </is>
      </c>
      <c r="B14" s="3" t="n">
        <v>9</v>
      </c>
      <c r="C14" s="3" t="n">
        <v>3</v>
      </c>
      <c r="D14" s="3">
        <f>AVERAGE(B14,C14)</f>
        <v/>
      </c>
      <c r="E14" s="3" t="n">
        <v>60</v>
      </c>
      <c r="F14" s="3" t="n">
        <v>76</v>
      </c>
      <c r="G14" s="3" t="n">
        <v>4</v>
      </c>
      <c r="H14" s="3" t="n">
        <v>9</v>
      </c>
    </row>
    <row r="15">
      <c r="A15" s="4" t="inlineStr">
        <is>
          <t>December</t>
        </is>
      </c>
      <c r="B15" s="4" t="n">
        <v>4</v>
      </c>
      <c r="C15" s="4" t="n">
        <v>-1</v>
      </c>
      <c r="D15" s="4">
        <f>AVERAGE(B15,C15)</f>
        <v/>
      </c>
      <c r="E15" s="4" t="n">
        <v>58</v>
      </c>
      <c r="F15" s="4" t="n">
        <v>80</v>
      </c>
      <c r="G15" s="4" t="n">
        <v>4.3</v>
      </c>
      <c r="H15" s="4" t="n">
        <v>7</v>
      </c>
    </row>
    <row r="17">
      <c r="A17" s="5" t="inlineStr">
        <is>
          <t>Annual Summary</t>
        </is>
      </c>
      <c r="B17" s="6">
        <f>AVERAGE(B4:B15)</f>
        <v/>
      </c>
      <c r="C17" s="6">
        <f>AVERAGE(C4:C15)</f>
        <v/>
      </c>
      <c r="D17" s="6">
        <f>AVERAGE(D4:D15)</f>
        <v/>
      </c>
      <c r="E17" s="6">
        <f>AVERAGE(E4:E15)</f>
        <v/>
      </c>
      <c r="F17" s="6">
        <f>AVERAGE(F4:F15)</f>
        <v/>
      </c>
      <c r="G17" s="6">
        <f>AVERAGE(G4:G15)</f>
        <v/>
      </c>
      <c r="H17" s="6">
        <f>SUM(H4:H15)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B9E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7" t="inlineStr">
        <is>
          <t>Quarterly Breakdown</t>
        </is>
      </c>
    </row>
    <row r="3">
      <c r="A3" s="8" t="inlineStr">
        <is>
          <t>Quarter</t>
        </is>
      </c>
      <c r="B3" s="8" t="inlineStr">
        <is>
          <t>Avg High (°C)</t>
        </is>
      </c>
      <c r="C3" s="8" t="inlineStr">
        <is>
          <t>Avg Low (°C)</t>
        </is>
      </c>
      <c r="D3" s="8" t="inlineStr">
        <is>
          <t>Mean Temp (°C)</t>
        </is>
      </c>
      <c r="E3" s="8" t="inlineStr">
        <is>
          <t>Total Precip (mm)</t>
        </is>
      </c>
      <c r="F3" s="8" t="inlineStr">
        <is>
          <t>Avg Humidity (%)</t>
        </is>
      </c>
    </row>
    <row r="4">
      <c r="A4" s="3" t="inlineStr">
        <is>
          <t>Q1 (Jan-Mar)</t>
        </is>
      </c>
      <c r="B4" s="9">
        <f>AVERAGE('Monthly Data'!B4:'Monthly Data'!B6)</f>
        <v/>
      </c>
      <c r="C4" s="9">
        <f>AVERAGE('Monthly Data'!C4:'Monthly Data'!C6)</f>
        <v/>
      </c>
      <c r="D4" s="9">
        <f>AVERAGE(B4,C4)</f>
        <v/>
      </c>
      <c r="E4" s="9">
        <f>SUM('Monthly Data'!E4:'Monthly Data'!E6)</f>
        <v/>
      </c>
      <c r="F4" s="9">
        <f>AVERAGE('Monthly Data'!F4:'Monthly Data'!F6)</f>
        <v/>
      </c>
    </row>
    <row r="5">
      <c r="A5" s="4" t="inlineStr">
        <is>
          <t>Q2 (Apr-Jun)</t>
        </is>
      </c>
      <c r="B5" s="10">
        <f>AVERAGE('Monthly Data'!B7:'Monthly Data'!B9)</f>
        <v/>
      </c>
      <c r="C5" s="10">
        <f>AVERAGE('Monthly Data'!C7:'Monthly Data'!C9)</f>
        <v/>
      </c>
      <c r="D5" s="10">
        <f>AVERAGE(B5,C5)</f>
        <v/>
      </c>
      <c r="E5" s="10">
        <f>SUM('Monthly Data'!E7:'Monthly Data'!E9)</f>
        <v/>
      </c>
      <c r="F5" s="10">
        <f>AVERAGE('Monthly Data'!F7:'Monthly Data'!F9)</f>
        <v/>
      </c>
    </row>
    <row r="6">
      <c r="A6" s="3" t="inlineStr">
        <is>
          <t>Q3 (Jul-Sep)</t>
        </is>
      </c>
      <c r="B6" s="9">
        <f>AVERAGE('Monthly Data'!B10:'Monthly Data'!B12)</f>
        <v/>
      </c>
      <c r="C6" s="9">
        <f>AVERAGE('Monthly Data'!C10:'Monthly Data'!C12)</f>
        <v/>
      </c>
      <c r="D6" s="9">
        <f>AVERAGE(B6,C6)</f>
        <v/>
      </c>
      <c r="E6" s="9">
        <f>SUM('Monthly Data'!E10:'Monthly Data'!E12)</f>
        <v/>
      </c>
      <c r="F6" s="9">
        <f>AVERAGE('Monthly Data'!F10:'Monthly Data'!F12)</f>
        <v/>
      </c>
    </row>
    <row r="7">
      <c r="A7" s="4" t="inlineStr">
        <is>
          <t>Q4 (Oct-Dec)</t>
        </is>
      </c>
      <c r="B7" s="10">
        <f>AVERAGE('Monthly Data'!B13:'Monthly Data'!B15)</f>
        <v/>
      </c>
      <c r="C7" s="10">
        <f>AVERAGE('Monthly Data'!C13:'Monthly Data'!C15)</f>
        <v/>
      </c>
      <c r="D7" s="10">
        <f>AVERAGE(B7,C7)</f>
        <v/>
      </c>
      <c r="E7" s="10">
        <f>SUM('Monthly Data'!E13:'Monthly Data'!E15)</f>
        <v/>
      </c>
      <c r="F7" s="10">
        <f>AVERAGE('Monthly Data'!F13:'Monthly Data'!F15)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Temperature &amp; Precipitation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2026-02-24T01:26:44Z</dcterms:created>
  <dcterms:modified xmlns:dcterms="http://purl.org/dc/terms/" xmlns:xsi="http://www.w3.org/2001/XMLSchema-instance" xsi:type="dcterms:W3CDTF">2026-02-24T01:26:44Z</dcterms:modified>
</cp:coreProperties>
</file>